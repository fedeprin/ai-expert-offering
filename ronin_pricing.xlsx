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<sst xmlns="http://schemas.openxmlformats.org/spreadsheetml/2006/main" count="56" uniqueCount="41">
  <si>
    <t xml:space="preserve">AI × Ronin  ·  Pricing Model</t>
  </si>
  <si>
    <t xml:space="preserve">Rate card, Fase 0 e pacchetto Standard  —  valori in €, IVA esclusa</t>
  </si>
  <si>
    <t xml:space="preserve">01  ·  Rate Card</t>
  </si>
  <si>
    <t xml:space="preserve">Tariffe giornaliere (8h) e orarie</t>
  </si>
  <si>
    <t xml:space="preserve">Figura</t>
  </si>
  <si>
    <t xml:space="preserve">Tariffa/giorno (€)</t>
  </si>
  <si>
    <t xml:space="preserve">Tariffa/ora (€)</t>
  </si>
  <si>
    <t xml:space="preserve">Martech Partner</t>
  </si>
  <si>
    <t xml:space="preserve">Data Strategy</t>
  </si>
  <si>
    <t xml:space="preserve">AI Operativa</t>
  </si>
  <si>
    <t xml:space="preserve">02  ·  Call di Qualificazione</t>
  </si>
  <si>
    <t xml:space="preserve">Gratuita  ·  45–60 min  ·  nessun impegno</t>
  </si>
  <si>
    <t xml:space="preserve">Ore</t>
  </si>
  <si>
    <t xml:space="preserve">Giorni eq.</t>
  </si>
  <si>
    <t xml:space="preserve">Costo interno (€)</t>
  </si>
  <si>
    <t xml:space="preserve">Prezzo cliente</t>
  </si>
  <si>
    <t xml:space="preserve">Gratuita</t>
  </si>
  <si>
    <t xml:space="preserve">Costo interno totale</t>
  </si>
  <si>
    <t xml:space="preserve">—</t>
  </si>
  <si>
    <t xml:space="preserve">03  ·  Fase 0 — Assessment</t>
  </si>
  <si>
    <t xml:space="preserve">2–3 settimane elapsed  ·  deliverable: documento findings + roadmap</t>
  </si>
  <si>
    <t xml:space="preserve">Giorni</t>
  </si>
  <si>
    <t xml:space="preserve">Costo (€)</t>
  </si>
  <si>
    <t xml:space="preserve">Margine target %</t>
  </si>
  <si>
    <t xml:space="preserve">(input blu = modificabile)</t>
  </si>
  <si>
    <t xml:space="preserve">Prezzo listino calcolato</t>
  </si>
  <si>
    <t xml:space="preserve">✦  Prezzo cliente (scontato)</t>
  </si>
  <si>
    <t xml:space="preserve">04  ·  Pacchetto Standard</t>
  </si>
  <si>
    <t xml:space="preserve">Scope fisso  ·  max 3 fonti  ·  1 dashboard  ·  3–4 settimane elapsed</t>
  </si>
  <si>
    <t xml:space="preserve">Prezzo pieno package (prima della deduzione)</t>
  </si>
  <si>
    <t xml:space="preserve">— Deduzione Fase 0 già pagata</t>
  </si>
  <si>
    <t xml:space="preserve">✦  Saldo a completamento (dopo Fase 0)</t>
  </si>
  <si>
    <t xml:space="preserve">Totale pagato dal cliente (Fase 0 + saldo)</t>
  </si>
  <si>
    <t xml:space="preserve">Margine effettivo sull'intero engagement</t>
  </si>
  <si>
    <t xml:space="preserve">Legenda:</t>
  </si>
  <si>
    <t xml:space="preserve">  Testo blu:</t>
  </si>
  <si>
    <t xml:space="preserve">Input modificabile — cambia giorni, margini e prezzo cliente per simulare scenari</t>
  </si>
  <si>
    <t xml:space="preserve">  Testo nero:</t>
  </si>
  <si>
    <t xml:space="preserve">Formula calcolata automaticamente</t>
  </si>
  <si>
    <t xml:space="preserve">  Sfondo oro:</t>
  </si>
  <si>
    <t xml:space="preserve">Voce principale esposta al cliente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</si>
</sst>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€#,##0"/>
    <numFmt numFmtId="166" formatCode="\€#,##0.00"/>
    <numFmt numFmtId="167" formatCode="0.0"/>
    <numFmt numFmtId="168" formatCode="0.00"/>
    <numFmt numFmtId="169" formatCode="0%"/>
    <numFmt numFmtId="170" formatCode="\€#,##0&quot; risparmiati&quot;"/>
    <numFmt numFmtId="171" formatCode="0.0%&quot; margine&quot;"/>
    <numFmt numFmtId="172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i val="true"/>
      <sz val="9"/>
      <color rgb="FF4A4A5A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i val="true"/>
      <sz val="9"/>
      <color rgb="FF88889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9900"/>
      <name val="Arial"/>
      <family val="0"/>
      <charset val="1"/>
    </font>
    <font>
      <b val="true"/>
      <sz val="10"/>
      <color rgb="FF4A4A5A"/>
      <name val="Arial"/>
      <family val="0"/>
      <charset val="1"/>
    </font>
    <font>
      <i val="true"/>
      <sz val="10"/>
      <color rgb="FF4A4A5A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4A4A5A"/>
      <name val="Arial"/>
      <family val="0"/>
      <charset val="1"/>
    </font>
    <font>
      <b val="true"/>
      <sz val="9"/>
      <color rgb="FF4A4A5A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5E6C8"/>
        <bgColor rgb="FFE8E8EC"/>
      </patternFill>
    </fill>
    <fill>
      <patternFill patternType="solid">
        <fgColor rgb="FFF7F7F9"/>
        <bgColor rgb="FFFFFFFF"/>
      </patternFill>
    </fill>
    <fill>
      <patternFill patternType="solid">
        <fgColor rgb="FF1A1A2E"/>
        <bgColor rgb="FF333300"/>
      </patternFill>
    </fill>
    <fill>
      <patternFill patternType="solid">
        <fgColor rgb="FF4A4A5A"/>
        <bgColor rgb="FF666699"/>
      </patternFill>
    </fill>
    <fill>
      <patternFill patternType="solid">
        <fgColor rgb="FFFFFFFF"/>
        <bgColor rgb="FFF7F7F9"/>
      </patternFill>
    </fill>
    <fill>
      <patternFill patternType="solid">
        <fgColor rgb="FFE8E8EC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0C0C0"/>
      <rgbColor rgb="FF888899"/>
      <rgbColor rgb="FF9999FF"/>
      <rgbColor rgb="FF993366"/>
      <rgbColor rgb="FFF7F7F9"/>
      <rgbColor rgb="FFE8E8EC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4A4A5A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4"/>
    <col collapsed="false" customWidth="true" hidden="false" outlineLevel="0" max="9" min="9" style="1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6" customFormat="false" ht="27.75" hidden="false" customHeight="true" outlineLevel="0" collapsed="false">
      <c r="B6" s="4" t="s">
        <v>2</v>
      </c>
      <c r="C6" s="5"/>
      <c r="D6" s="6" t="s">
        <v>3</v>
      </c>
      <c r="E6" s="5"/>
      <c r="F6" s="5"/>
      <c r="G6" s="5"/>
      <c r="H6" s="5"/>
    </row>
    <row r="7" customFormat="false" ht="18" hidden="false" customHeight="true" outlineLevel="0" collapsed="false">
      <c r="B7" s="7" t="s">
        <v>4</v>
      </c>
      <c r="C7" s="7" t="s">
        <v>5</v>
      </c>
      <c r="D7" s="7" t="s">
        <v>6</v>
      </c>
    </row>
    <row r="8" customFormat="false" ht="16.5" hidden="false" customHeight="true" outlineLevel="0" collapsed="false">
      <c r="B8" s="8" t="s">
        <v>7</v>
      </c>
      <c r="C8" s="9" t="n">
        <v>1350</v>
      </c>
      <c r="D8" s="10" t="n">
        <f aca="false">C8/8</f>
        <v>168.75</v>
      </c>
      <c r="E8" s="11"/>
      <c r="F8" s="11"/>
      <c r="G8" s="11"/>
      <c r="H8" s="11"/>
    </row>
    <row r="9" customFormat="false" ht="16.5" hidden="false" customHeight="true" outlineLevel="0" collapsed="false">
      <c r="B9" s="12" t="s">
        <v>8</v>
      </c>
      <c r="C9" s="13" t="n">
        <v>950</v>
      </c>
      <c r="D9" s="14" t="n">
        <f aca="false">C9/8</f>
        <v>118.75</v>
      </c>
      <c r="E9" s="15"/>
      <c r="F9" s="15"/>
      <c r="G9" s="15"/>
      <c r="H9" s="15"/>
    </row>
    <row r="10" customFormat="false" ht="16.5" hidden="false" customHeight="true" outlineLevel="0" collapsed="false">
      <c r="B10" s="8" t="s">
        <v>9</v>
      </c>
      <c r="C10" s="9" t="n">
        <v>750</v>
      </c>
      <c r="D10" s="10" t="n">
        <f aca="false">C10/8</f>
        <v>93.75</v>
      </c>
      <c r="E10" s="11"/>
      <c r="F10" s="11"/>
      <c r="G10" s="11"/>
      <c r="H10" s="11"/>
    </row>
    <row r="12" customFormat="false" ht="27.75" hidden="false" customHeight="true" outlineLevel="0" collapsed="false">
      <c r="B12" s="4" t="s">
        <v>10</v>
      </c>
      <c r="C12" s="5"/>
      <c r="D12" s="6" t="s">
        <v>11</v>
      </c>
      <c r="E12" s="5"/>
      <c r="F12" s="5"/>
      <c r="G12" s="5"/>
      <c r="H12" s="5"/>
    </row>
    <row r="13" customFormat="false" ht="18" hidden="false" customHeight="true" outlineLevel="0" collapsed="false">
      <c r="B13" s="7" t="s">
        <v>4</v>
      </c>
      <c r="C13" s="7" t="s">
        <v>12</v>
      </c>
      <c r="D13" s="7" t="s">
        <v>13</v>
      </c>
      <c r="E13" s="7" t="s">
        <v>14</v>
      </c>
      <c r="F13" s="7" t="s">
        <v>15</v>
      </c>
    </row>
    <row r="14" customFormat="false" ht="16.5" hidden="false" customHeight="true" outlineLevel="0" collapsed="false">
      <c r="B14" s="16" t="s">
        <v>7</v>
      </c>
      <c r="C14" s="17" t="n">
        <v>1</v>
      </c>
      <c r="D14" s="18" t="n">
        <f aca="false">C14/8</f>
        <v>0.125</v>
      </c>
      <c r="E14" s="19" t="n">
        <f aca="false">D14*C8</f>
        <v>168.75</v>
      </c>
      <c r="F14" s="20" t="s">
        <v>16</v>
      </c>
      <c r="G14" s="15"/>
      <c r="H14" s="15"/>
    </row>
    <row r="15" customFormat="false" ht="16.5" hidden="false" customHeight="true" outlineLevel="0" collapsed="false">
      <c r="B15" s="21" t="s">
        <v>17</v>
      </c>
      <c r="C15" s="22"/>
      <c r="D15" s="22"/>
      <c r="E15" s="23" t="n">
        <f aca="false">SUM(E14)</f>
        <v>168.75</v>
      </c>
      <c r="F15" s="24" t="s">
        <v>18</v>
      </c>
      <c r="G15" s="22"/>
      <c r="H15" s="22"/>
    </row>
    <row r="17" customFormat="false" ht="27.75" hidden="false" customHeight="true" outlineLevel="0" collapsed="false">
      <c r="B17" s="4" t="s">
        <v>19</v>
      </c>
      <c r="C17" s="5"/>
      <c r="D17" s="6" t="s">
        <v>20</v>
      </c>
      <c r="E17" s="5"/>
      <c r="F17" s="5"/>
      <c r="G17" s="5"/>
      <c r="H17" s="5"/>
    </row>
    <row r="18" customFormat="false" ht="18" hidden="false" customHeight="true" outlineLevel="0" collapsed="false">
      <c r="B18" s="7" t="s">
        <v>4</v>
      </c>
      <c r="C18" s="7" t="s">
        <v>21</v>
      </c>
      <c r="D18" s="7" t="s">
        <v>22</v>
      </c>
      <c r="E18" s="7"/>
      <c r="F18" s="7"/>
      <c r="G18" s="7"/>
    </row>
    <row r="19" customFormat="false" ht="16.5" hidden="false" customHeight="true" outlineLevel="0" collapsed="false">
      <c r="B19" s="25" t="s">
        <v>7</v>
      </c>
      <c r="C19" s="26" t="n">
        <v>1</v>
      </c>
      <c r="D19" s="27" t="n">
        <f aca="false">C19*C8</f>
        <v>1350</v>
      </c>
      <c r="E19" s="11"/>
      <c r="F19" s="11"/>
      <c r="G19" s="11"/>
      <c r="H19" s="11"/>
    </row>
    <row r="20" customFormat="false" ht="16.5" hidden="false" customHeight="true" outlineLevel="0" collapsed="false">
      <c r="B20" s="16" t="s">
        <v>8</v>
      </c>
      <c r="C20" s="17" t="n">
        <v>3</v>
      </c>
      <c r="D20" s="19" t="n">
        <f aca="false">C20*C9</f>
        <v>2850</v>
      </c>
      <c r="E20" s="15"/>
      <c r="F20" s="15"/>
      <c r="G20" s="15"/>
      <c r="H20" s="15"/>
    </row>
    <row r="21" customFormat="false" ht="16.5" hidden="false" customHeight="true" outlineLevel="0" collapsed="false">
      <c r="B21" s="25" t="s">
        <v>9</v>
      </c>
      <c r="C21" s="26" t="n">
        <v>0.5</v>
      </c>
      <c r="D21" s="27" t="n">
        <f aca="false">C21*C10</f>
        <v>375</v>
      </c>
      <c r="E21" s="11"/>
      <c r="F21" s="11"/>
      <c r="G21" s="11"/>
      <c r="H21" s="11"/>
    </row>
    <row r="22" customFormat="false" ht="16.5" hidden="false" customHeight="true" outlineLevel="0" collapsed="false">
      <c r="B22" s="21" t="s">
        <v>17</v>
      </c>
      <c r="C22" s="22"/>
      <c r="D22" s="23" t="n">
        <f aca="false">SUM(D19:D21)</f>
        <v>4575</v>
      </c>
      <c r="E22" s="22"/>
      <c r="F22" s="22"/>
      <c r="G22" s="22"/>
      <c r="H22" s="22"/>
    </row>
    <row r="23" customFormat="false" ht="16.5" hidden="false" customHeight="true" outlineLevel="0" collapsed="false">
      <c r="B23" s="28" t="s">
        <v>23</v>
      </c>
      <c r="C23" s="29" t="n">
        <v>0.35</v>
      </c>
      <c r="D23" s="30" t="s">
        <v>24</v>
      </c>
      <c r="E23" s="15"/>
      <c r="F23" s="15"/>
      <c r="G23" s="15"/>
      <c r="H23" s="15"/>
    </row>
    <row r="24" customFormat="false" ht="16.5" hidden="false" customHeight="true" outlineLevel="0" collapsed="false">
      <c r="B24" s="16" t="s">
        <v>25</v>
      </c>
      <c r="C24" s="19" t="n">
        <f aca="false">D22/(1-C23)</f>
        <v>7038.46153846154</v>
      </c>
      <c r="D24" s="15"/>
      <c r="E24" s="15"/>
      <c r="F24" s="15"/>
      <c r="G24" s="15"/>
      <c r="H24" s="15"/>
    </row>
    <row r="25" customFormat="false" ht="16.5" hidden="false" customHeight="true" outlineLevel="0" collapsed="false">
      <c r="B25" s="31" t="s">
        <v>26</v>
      </c>
      <c r="C25" s="32" t="n">
        <v>4500</v>
      </c>
      <c r="D25" s="33" t="n">
        <f aca="false">C24-C25</f>
        <v>2538.46153846154</v>
      </c>
      <c r="E25" s="34" t="n">
        <f aca="false">C25/D22-1</f>
        <v>-0.0163934426229508</v>
      </c>
      <c r="F25" s="35"/>
      <c r="G25" s="35"/>
      <c r="H25" s="35"/>
    </row>
    <row r="27" customFormat="false" ht="27.75" hidden="false" customHeight="true" outlineLevel="0" collapsed="false">
      <c r="B27" s="4" t="s">
        <v>27</v>
      </c>
      <c r="C27" s="5"/>
      <c r="D27" s="6" t="s">
        <v>28</v>
      </c>
      <c r="E27" s="5"/>
      <c r="F27" s="5"/>
      <c r="G27" s="5"/>
      <c r="H27" s="5"/>
    </row>
    <row r="28" customFormat="false" ht="18" hidden="false" customHeight="true" outlineLevel="0" collapsed="false">
      <c r="B28" s="7" t="s">
        <v>4</v>
      </c>
      <c r="C28" s="7" t="s">
        <v>21</v>
      </c>
      <c r="D28" s="7" t="s">
        <v>22</v>
      </c>
      <c r="E28" s="7"/>
      <c r="F28" s="7"/>
      <c r="G28" s="7"/>
    </row>
    <row r="29" customFormat="false" ht="16.5" hidden="false" customHeight="true" outlineLevel="0" collapsed="false">
      <c r="B29" s="25" t="s">
        <v>7</v>
      </c>
      <c r="C29" s="26" t="n">
        <v>0.5</v>
      </c>
      <c r="D29" s="27" t="n">
        <f aca="false">C29*C8</f>
        <v>675</v>
      </c>
      <c r="E29" s="11"/>
      <c r="F29" s="11"/>
      <c r="G29" s="11"/>
      <c r="H29" s="11"/>
    </row>
    <row r="30" customFormat="false" ht="16.5" hidden="false" customHeight="true" outlineLevel="0" collapsed="false">
      <c r="B30" s="16" t="s">
        <v>8</v>
      </c>
      <c r="C30" s="17" t="n">
        <v>2.5</v>
      </c>
      <c r="D30" s="19" t="n">
        <f aca="false">C30*C9</f>
        <v>2375</v>
      </c>
      <c r="E30" s="15"/>
      <c r="F30" s="15"/>
      <c r="G30" s="15"/>
      <c r="H30" s="15"/>
    </row>
    <row r="31" customFormat="false" ht="16.5" hidden="false" customHeight="true" outlineLevel="0" collapsed="false">
      <c r="B31" s="25" t="s">
        <v>9</v>
      </c>
      <c r="C31" s="26" t="n">
        <v>3</v>
      </c>
      <c r="D31" s="27" t="n">
        <f aca="false">C31*C10</f>
        <v>2250</v>
      </c>
      <c r="E31" s="11"/>
      <c r="F31" s="11"/>
      <c r="G31" s="11"/>
      <c r="H31" s="11"/>
    </row>
    <row r="32" customFormat="false" ht="16.5" hidden="false" customHeight="true" outlineLevel="0" collapsed="false">
      <c r="B32" s="21" t="s">
        <v>17</v>
      </c>
      <c r="C32" s="22"/>
      <c r="D32" s="23" t="n">
        <f aca="false">SUM(D29:D31)</f>
        <v>5300</v>
      </c>
      <c r="E32" s="22"/>
      <c r="F32" s="22"/>
      <c r="G32" s="22"/>
      <c r="H32" s="22"/>
    </row>
    <row r="33" customFormat="false" ht="16.5" hidden="false" customHeight="true" outlineLevel="0" collapsed="false">
      <c r="B33" s="28" t="s">
        <v>23</v>
      </c>
      <c r="C33" s="29" t="n">
        <v>0.55</v>
      </c>
      <c r="D33" s="15"/>
      <c r="E33" s="15"/>
      <c r="F33" s="15"/>
      <c r="G33" s="15"/>
      <c r="H33" s="15"/>
    </row>
    <row r="34" customFormat="false" ht="16.5" hidden="false" customHeight="true" outlineLevel="0" collapsed="false">
      <c r="B34" s="16" t="s">
        <v>29</v>
      </c>
      <c r="C34" s="19" t="n">
        <f aca="false">D32/(1-C33)</f>
        <v>11777.7777777778</v>
      </c>
      <c r="D34" s="15"/>
      <c r="E34" s="15"/>
      <c r="F34" s="15"/>
      <c r="G34" s="15"/>
      <c r="H34" s="15"/>
    </row>
    <row r="35" customFormat="false" ht="16.5" hidden="false" customHeight="true" outlineLevel="0" collapsed="false">
      <c r="B35" s="28" t="s">
        <v>30</v>
      </c>
      <c r="C35" s="36" t="n">
        <f aca="false">-C25</f>
        <v>-4500</v>
      </c>
      <c r="D35" s="15"/>
      <c r="E35" s="15"/>
      <c r="F35" s="15"/>
      <c r="G35" s="15"/>
      <c r="H35" s="15"/>
    </row>
    <row r="36" customFormat="false" ht="16.5" hidden="false" customHeight="true" outlineLevel="0" collapsed="false">
      <c r="B36" s="31" t="s">
        <v>31</v>
      </c>
      <c r="C36" s="37" t="n">
        <f aca="false">C34+C35</f>
        <v>7277.77777777778</v>
      </c>
      <c r="D36" s="35"/>
      <c r="E36" s="35"/>
      <c r="F36" s="35"/>
      <c r="G36" s="35"/>
      <c r="H36" s="35"/>
    </row>
    <row r="37" customFormat="false" ht="16.5" hidden="false" customHeight="true" outlineLevel="0" collapsed="false">
      <c r="B37" s="31" t="s">
        <v>32</v>
      </c>
      <c r="C37" s="37" t="n">
        <f aca="false">C25+C36</f>
        <v>11777.7777777778</v>
      </c>
      <c r="D37" s="35"/>
      <c r="E37" s="35"/>
      <c r="F37" s="35"/>
      <c r="G37" s="35"/>
      <c r="H37" s="35"/>
    </row>
    <row r="38" customFormat="false" ht="16.5" hidden="false" customHeight="true" outlineLevel="0" collapsed="false">
      <c r="B38" s="38" t="s">
        <v>33</v>
      </c>
      <c r="C38" s="39" t="n">
        <f aca="false">1-(D22+D32)/C37</f>
        <v>0.161556603773585</v>
      </c>
      <c r="D38" s="15"/>
      <c r="E38" s="15"/>
      <c r="F38" s="15"/>
      <c r="G38" s="15"/>
      <c r="H38" s="15"/>
    </row>
    <row r="40" customFormat="false" ht="15.75" hidden="false" customHeight="true" outlineLevel="0" collapsed="false">
      <c r="B40" s="40" t="s">
        <v>34</v>
      </c>
    </row>
    <row r="41" customFormat="false" ht="13.5" hidden="false" customHeight="true" outlineLevel="0" collapsed="false">
      <c r="B41" s="41" t="s">
        <v>35</v>
      </c>
      <c r="C41" s="42" t="s">
        <v>36</v>
      </c>
      <c r="D41" s="42"/>
      <c r="E41" s="42"/>
      <c r="F41" s="42"/>
      <c r="G41" s="42"/>
      <c r="H41" s="42"/>
    </row>
    <row r="42" customFormat="false" ht="13.5" hidden="false" customHeight="true" outlineLevel="0" collapsed="false">
      <c r="B42" s="43" t="s">
        <v>37</v>
      </c>
      <c r="C42" s="42" t="s">
        <v>38</v>
      </c>
      <c r="D42" s="42"/>
      <c r="E42" s="42"/>
      <c r="F42" s="42"/>
      <c r="G42" s="42"/>
      <c r="H42" s="42"/>
    </row>
    <row r="43" customFormat="false" ht="13.5" hidden="false" customHeight="true" outlineLevel="0" collapsed="false">
      <c r="B43" s="43" t="s">
        <v>39</v>
      </c>
      <c r="C43" s="42" t="s">
        <v>40</v>
      </c>
      <c r="D43" s="42"/>
      <c r="E43" s="42"/>
      <c r="F43" s="42"/>
      <c r="G43" s="42"/>
      <c r="H43" s="42"/>
    </row>
  </sheetData>
  <mergeCells count="5">
    <mergeCell ref="B2:H2"/>
    <mergeCell ref="B3:H3"/>
    <mergeCell ref="C41:H41"/>
    <mergeCell ref="C42:H42"/>
    <mergeCell ref="C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2026-06-24T08:29:31Z</dcterms:created>
  <dc:creator>openpyxl</dc:creator>
  <dc:description/>
  <dc:language>en-US</dc:language>
  <cp:lastModifiedBy/>
  <dcterms:modified xsi:type="dcterms:W3CDTF">2026-06-24T08:29:46Z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